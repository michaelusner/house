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ublic\House\Taxes - 2020\"/>
    </mc:Choice>
  </mc:AlternateContent>
  <xr:revisionPtr revIDLastSave="0" documentId="13_ncr:1_{637C8E9D-BABF-4D6F-A814-098958FC671A}" xr6:coauthVersionLast="45" xr6:coauthVersionMax="45" xr10:uidLastSave="{00000000-0000-0000-0000-000000000000}"/>
  <bookViews>
    <workbookView xWindow="5850" yWindow="1740" windowWidth="21255" windowHeight="13125" xr2:uid="{F8E1AA46-8C01-4E0F-9AD1-99D75EDA5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H8" i="1"/>
  <c r="H7" i="1"/>
  <c r="H6" i="1"/>
  <c r="H5" i="1"/>
  <c r="H4" i="1"/>
  <c r="H3" i="1"/>
  <c r="I3" i="1"/>
  <c r="H2" i="1"/>
  <c r="G6" i="1"/>
  <c r="G5" i="1"/>
  <c r="G4" i="1"/>
  <c r="G3" i="1"/>
  <c r="G2" i="1"/>
  <c r="F6" i="1"/>
  <c r="F5" i="1"/>
  <c r="F4" i="1"/>
  <c r="F3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<sst xmlns="http://schemas.openxmlformats.org/spreadsheetml/2006/main" count="31" uniqueCount="27">
  <si>
    <t xml:space="preserve">Comp2   </t>
  </si>
  <si>
    <t>Comp3</t>
  </si>
  <si>
    <t>Home</t>
  </si>
  <si>
    <t>Comp1</t>
  </si>
  <si>
    <t>Name</t>
  </si>
  <si>
    <t>Size</t>
  </si>
  <si>
    <t>% Difference</t>
  </si>
  <si>
    <t>Comp4</t>
  </si>
  <si>
    <t>Comp5</t>
  </si>
  <si>
    <t>Notes</t>
  </si>
  <si>
    <t>No hill, closer to lake</t>
  </si>
  <si>
    <t>Distance
to Lake (ft)</t>
  </si>
  <si>
    <t>Address</t>
  </si>
  <si>
    <t>11552 Grand Pine Dr.</t>
  </si>
  <si>
    <t>11436 Grand Pine Dr.</t>
  </si>
  <si>
    <t>11477 Grand Pine Dr.</t>
  </si>
  <si>
    <t>11463 Grand Pine Dr.</t>
  </si>
  <si>
    <t>11428 Grand Pine Dr.</t>
  </si>
  <si>
    <t>11564 Grand Pine Dr.</t>
  </si>
  <si>
    <t>Additional</t>
  </si>
  <si>
    <t>11568 Grand Pine Dr</t>
  </si>
  <si>
    <t>Difference</t>
  </si>
  <si>
    <t>Difference (mi)</t>
  </si>
  <si>
    <t>Closer to lake</t>
  </si>
  <si>
    <t>Reduced</t>
  </si>
  <si>
    <t>Lot Value</t>
  </si>
  <si>
    <t>$/s1 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</si>
</sst>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9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121"/>
      <name val="Arial"/>
      <family val="2"/>
    </font>
    <font>
      <sz val="11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4" fontId="2" fillId="0" borderId="0" xfId="0" applyNumberFormat="1" applyFont="1"/>
    <xf numFmtId="169" fontId="1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left"/>
    </xf>
    <xf numFmtId="9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169" fontId="0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rial"/>
        <family val="2"/>
        <scheme val="none"/>
      </font>
      <numFmt numFmtId="4" formatCode="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Arial"/>
        <family val="2"/>
        <scheme val="none"/>
      </font>
      <numFmt numFmtId="4" formatCode="#,##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9" formatCode="&quot;$&quot;#,##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&quot;$&quot;#,##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64" formatCode="&quot;$&quot;#,##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3" formatCode="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" formatCode="#,##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E9E97-C2A6-4B46-82A4-5CDFE2547B5E}" name="Table1" displayName="Table1" ref="A1:J8" totalsRowShown="0" dataDxfId="0">
  <autoFilter ref="A1:J8" xr:uid="{CDA1C6C0-EBE4-4A36-B200-48C649B7F1F9}"/>
  <tableColumns count="10">
    <tableColumn id="1" xr3:uid="{611FD43A-E66E-4681-9B73-93376DA0049D}" name="Name" dataDxfId="10"/>
    <tableColumn id="2" xr3:uid="{265B8829-07F7-438B-A85D-9F4D5D3DC347}" name="Address" dataDxfId="9"/>
    <tableColumn id="3" xr3:uid="{08F6C4D5-F4ED-4211-90A8-937D20C5A7F3}" name="Size" dataDxfId="8"/>
    <tableColumn id="4" xr3:uid="{5A717E46-B45A-478D-A65E-283AF01E832D}" name="% Difference" dataDxfId="7"/>
    <tableColumn id="5" xr3:uid="{34CFAC62-17E9-4183-B048-0297BFB0AB36}" name="Lot Value" dataDxfId="6"/>
    <tableColumn id="6" xr3:uid="{B63BE30B-DC5E-493B-AD36-0F0F9B56C866}" name="Difference" dataDxfId="5"/>
    <tableColumn id="7" xr3:uid="{C76ACDD6-399C-4197-ABD6-3D1BEF55A4B3}" name="$/s1 ft." dataDxfId="4"/>
    <tableColumn id="8" xr3:uid="{A2D20D34-177A-4EE5-BEC0-B04C6B693A05}" name="Distance_x000a_to Lake (ft)" dataDxfId="3"/>
    <tableColumn id="9" xr3:uid="{2ED3D9AD-515E-4DDE-BC93-953926D4D4E2}" name="Difference (mi)" dataDxfId="2"/>
    <tableColumn id="10" xr3:uid="{6A37AAE2-DB57-4217-8E2C-F017674BA899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5D43-4E7F-43BD-BF0A-BDA789A5909A}">
  <sheetPr>
    <pageSetUpPr fitToPage="1"/>
  </sheetPr>
  <dimension ref="A1:J9"/>
  <sheetViews>
    <sheetView tabSelected="1" workbookViewId="0">
      <selection activeCell="H4" sqref="H4:J5"/>
    </sheetView>
  </sheetViews>
  <sheetFormatPr defaultRowHeight="15" x14ac:dyDescent="0.25"/>
  <cols>
    <col min="1" max="1" width="10.28515625" bestFit="1" customWidth="1"/>
    <col min="2" max="2" width="19.42578125" bestFit="1" customWidth="1"/>
    <col min="3" max="3" width="6.85546875" bestFit="1" customWidth="1"/>
    <col min="4" max="4" width="14.7109375" bestFit="1" customWidth="1"/>
    <col min="5" max="5" width="11.5703125" bestFit="1" customWidth="1"/>
    <col min="6" max="6" width="12.7109375" bestFit="1" customWidth="1"/>
    <col min="7" max="7" width="9.42578125" bestFit="1" customWidth="1"/>
    <col min="8" max="8" width="12.85546875" bestFit="1" customWidth="1"/>
    <col min="9" max="9" width="10.5703125" bestFit="1" customWidth="1"/>
    <col min="10" max="10" width="19.85546875" bestFit="1" customWidth="1"/>
  </cols>
  <sheetData>
    <row r="1" spans="1:10" ht="30" x14ac:dyDescent="0.25">
      <c r="A1" t="s">
        <v>4</v>
      </c>
      <c r="B1" t="s">
        <v>12</v>
      </c>
      <c r="C1" t="s">
        <v>5</v>
      </c>
      <c r="D1" t="s">
        <v>6</v>
      </c>
      <c r="E1" t="s">
        <v>25</v>
      </c>
      <c r="F1" t="s">
        <v>21</v>
      </c>
      <c r="G1" t="s">
        <v>26</v>
      </c>
      <c r="H1" s="2" t="s">
        <v>11</v>
      </c>
      <c r="I1" s="2" t="s">
        <v>22</v>
      </c>
      <c r="J1" t="s">
        <v>9</v>
      </c>
    </row>
    <row r="2" spans="1:10" x14ac:dyDescent="0.25">
      <c r="A2" s="5" t="s">
        <v>2</v>
      </c>
      <c r="B2" s="5" t="s">
        <v>13</v>
      </c>
      <c r="C2" s="6">
        <v>22399</v>
      </c>
      <c r="D2" s="7"/>
      <c r="E2" s="8">
        <v>123190</v>
      </c>
      <c r="F2" s="8"/>
      <c r="G2" s="9">
        <f>E2/C2</f>
        <v>5.4997990981740257</v>
      </c>
      <c r="H2" s="10">
        <f>5141.76/5280</f>
        <v>0.97381818181818181</v>
      </c>
      <c r="I2" s="10"/>
      <c r="J2" s="5"/>
    </row>
    <row r="3" spans="1:10" x14ac:dyDescent="0.25">
      <c r="A3" s="5" t="s">
        <v>3</v>
      </c>
      <c r="B3" s="5" t="s">
        <v>14</v>
      </c>
      <c r="C3" s="6">
        <v>21736</v>
      </c>
      <c r="D3" s="7">
        <f>(1-(C2/C3))</f>
        <v>-3.0502392344497586E-2</v>
      </c>
      <c r="E3" s="8">
        <v>119550</v>
      </c>
      <c r="F3" s="8">
        <f>E2-E3</f>
        <v>3640</v>
      </c>
      <c r="G3" s="9">
        <f>E3/C3</f>
        <v>5.5000920132499083</v>
      </c>
      <c r="H3" s="10">
        <f>2997.17/5280</f>
        <v>0.56764583333333329</v>
      </c>
      <c r="I3" s="10">
        <f>(H2-H3)</f>
        <v>0.40617234848484851</v>
      </c>
      <c r="J3" s="5" t="s">
        <v>10</v>
      </c>
    </row>
    <row r="4" spans="1:10" x14ac:dyDescent="0.25">
      <c r="A4" s="5" t="s">
        <v>0</v>
      </c>
      <c r="B4" s="5" t="s">
        <v>15</v>
      </c>
      <c r="C4" s="6">
        <v>21606</v>
      </c>
      <c r="D4" s="7">
        <f>(1-(C2/C4))</f>
        <v>-3.6702767749699161E-2</v>
      </c>
      <c r="E4" s="8">
        <v>71300</v>
      </c>
      <c r="F4" s="8">
        <f>E2-E4</f>
        <v>51890</v>
      </c>
      <c r="G4" s="4">
        <f t="shared" ref="G4:G8" si="0">E4/C4</f>
        <v>3.3000092566879569</v>
      </c>
      <c r="H4" s="10">
        <f>3425.57/5280</f>
        <v>0.64878219696969697</v>
      </c>
      <c r="I4" s="10">
        <f>(H2-H4)</f>
        <v>0.32503598484848484</v>
      </c>
      <c r="J4" s="5" t="s">
        <v>23</v>
      </c>
    </row>
    <row r="5" spans="1:10" x14ac:dyDescent="0.25">
      <c r="A5" s="5" t="s">
        <v>1</v>
      </c>
      <c r="B5" s="5" t="s">
        <v>16</v>
      </c>
      <c r="C5" s="6">
        <v>21736</v>
      </c>
      <c r="D5" s="7">
        <f>(1-(C2/C5))</f>
        <v>-3.0502392344497586E-2</v>
      </c>
      <c r="E5" s="8">
        <v>83680</v>
      </c>
      <c r="F5" s="8">
        <f>E2-E5</f>
        <v>39510</v>
      </c>
      <c r="G5" s="4">
        <f t="shared" si="0"/>
        <v>3.8498343761501657</v>
      </c>
      <c r="H5" s="10">
        <f>3425.57/5280</f>
        <v>0.64878219696969697</v>
      </c>
      <c r="I5" s="10">
        <f>(H2-H5)</f>
        <v>0.32503598484848484</v>
      </c>
      <c r="J5" s="5" t="s">
        <v>23</v>
      </c>
    </row>
    <row r="6" spans="1:10" x14ac:dyDescent="0.25">
      <c r="A6" s="5" t="s">
        <v>7</v>
      </c>
      <c r="B6" s="5" t="s">
        <v>17</v>
      </c>
      <c r="C6" s="6">
        <v>21911</v>
      </c>
      <c r="D6" s="7">
        <f>(1-(C2/C6))</f>
        <v>-2.2271918214595399E-2</v>
      </c>
      <c r="E6" s="8">
        <v>120510</v>
      </c>
      <c r="F6" s="8">
        <f>E2-E6</f>
        <v>2680</v>
      </c>
      <c r="G6" s="9">
        <f t="shared" si="0"/>
        <v>5.4999771804116655</v>
      </c>
      <c r="H6" s="10">
        <f>2845.73/5280</f>
        <v>0.53896401515151515</v>
      </c>
      <c r="I6" s="10">
        <f>(H2-H6)</f>
        <v>0.43485416666666665</v>
      </c>
      <c r="J6" s="5" t="s">
        <v>10</v>
      </c>
    </row>
    <row r="7" spans="1:10" x14ac:dyDescent="0.25">
      <c r="A7" s="5" t="s">
        <v>8</v>
      </c>
      <c r="B7" s="5" t="s">
        <v>18</v>
      </c>
      <c r="C7" s="6">
        <v>22399</v>
      </c>
      <c r="D7" s="7">
        <f>(1-(C2/C7))</f>
        <v>0</v>
      </c>
      <c r="E7" s="8" t="s">
        <v>24</v>
      </c>
      <c r="F7" s="8"/>
      <c r="G7" s="9"/>
      <c r="H7" s="10">
        <f>5261.86/5280</f>
        <v>0.99656439393939389</v>
      </c>
      <c r="I7" s="10">
        <f>(H2-H7)</f>
        <v>-2.2746212121212084E-2</v>
      </c>
      <c r="J7" s="5" t="s">
        <v>23</v>
      </c>
    </row>
    <row r="8" spans="1:10" x14ac:dyDescent="0.25">
      <c r="A8" s="5" t="s">
        <v>19</v>
      </c>
      <c r="B8" s="5" t="s">
        <v>20</v>
      </c>
      <c r="C8" s="6">
        <v>22399</v>
      </c>
      <c r="D8" s="7">
        <f>(1-(C2/C8))</f>
        <v>0</v>
      </c>
      <c r="E8" s="8" t="s">
        <v>24</v>
      </c>
      <c r="F8" s="8"/>
      <c r="G8" s="9"/>
      <c r="H8" s="10">
        <f>5332.8/5280</f>
        <v>1.01</v>
      </c>
      <c r="I8" s="10">
        <f>(H2-H8)</f>
        <v>-3.6181818181818204E-2</v>
      </c>
      <c r="J8" s="5"/>
    </row>
    <row r="9" spans="1:10" x14ac:dyDescent="0.25">
      <c r="E9" s="1"/>
      <c r="F9" s="1"/>
      <c r="G9" s="1"/>
      <c r="I9" s="3"/>
    </row>
  </sheetData>
  <pageMargins left="0.7" right="0.7" top="0.75" bottom="0.75" header="0.3" footer="0.3"/>
  <pageSetup scale="9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Usner</dc:creator>
  <cp:lastModifiedBy>Michael Usner</cp:lastModifiedBy>
  <cp:lastPrinted>2020-11-09T15:16:28Z</cp:lastPrinted>
  <dcterms:created xsi:type="dcterms:W3CDTF">2020-11-09T14:15:41Z</dcterms:created>
  <dcterms:modified xsi:type="dcterms:W3CDTF">2020-11-09T15:17:19Z</dcterms:modified>
</cp:coreProperties>
</file>