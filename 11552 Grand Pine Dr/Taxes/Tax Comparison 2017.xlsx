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Public\House\Taxes\"/>
    </mc:Choice>
  </mc:AlternateContent>
  <bookViews>
    <workbookView xWindow="0" yWindow="0" windowWidth="1881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6" i="1"/>
  <c r="I5" i="1"/>
  <c r="H5" i="1"/>
  <c r="H6" i="1"/>
  <c r="H4" i="1"/>
  <c r="H3" i="1"/>
  <c r="H2" i="1"/>
</calcChain>
</file>

<file path=xl/sharedStrings.xml><?xml version="1.0" encoding="utf-8"?>
<sst xmlns="http://schemas.openxmlformats.org/spreadsheetml/2006/main" count="14" uniqueCount="14">
  <si>
    <t>Account</t>
  </si>
  <si>
    <t>Address</t>
  </si>
  <si>
    <t>11552 Grand Pine Dr.</t>
  </si>
  <si>
    <t>Land Value</t>
  </si>
  <si>
    <t>Bed</t>
  </si>
  <si>
    <t>Bath</t>
  </si>
  <si>
    <t>11560 GRAND VIEW DR</t>
  </si>
  <si>
    <t>Gross
Value</t>
  </si>
  <si>
    <t>Improvement
Value</t>
  </si>
  <si>
    <t>11443 GRAND PINE DR</t>
  </si>
  <si>
    <t>Sq. Ft.</t>
  </si>
  <si>
    <t>11444 Lake Oak Dr</t>
  </si>
  <si>
    <t>11544 GRAND PINE DR  </t>
  </si>
  <si>
    <t>$/Sq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</si>
</sst>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71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40433"/>
      <name val="Verdan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horizontal="left"/>
    </xf>
    <xf numFmtId="0" fontId="3" fillId="0" borderId="0" xfId="2" applyNumberFormat="1" applyAlignment="1">
      <alignment horizontal="left" wrapText="1"/>
    </xf>
    <xf numFmtId="0" fontId="0" fillId="0" borderId="0" xfId="0" applyAlignment="1"/>
    <xf numFmtId="171" fontId="0" fillId="0" borderId="0" xfId="1" applyNumberFormat="1" applyFont="1" applyAlignment="1"/>
    <xf numFmtId="171" fontId="2" fillId="0" borderId="0" xfId="1" applyNumberFormat="1" applyFont="1" applyAlignment="1">
      <alignment horizontal="left" wrapText="1"/>
    </xf>
    <xf numFmtId="171" fontId="0" fillId="0" borderId="0" xfId="1" applyNumberFormat="1" applyFont="1" applyAlignment="1">
      <alignment horizontal="left"/>
    </xf>
    <xf numFmtId="0" fontId="3" fillId="0" borderId="0" xfId="2" applyAlignment="1">
      <alignment horizontal="left" wrapText="1"/>
    </xf>
    <xf numFmtId="0" fontId="2" fillId="0" borderId="0" xfId="0" applyFont="1" applyAlignment="1">
      <alignment horizontal="left" wrapText="1"/>
    </xf>
    <xf numFmtId="1" fontId="2" fillId="0" borderId="0" xfId="0" applyNumberFormat="1" applyFont="1" applyAlignment="1">
      <alignment horizontal="left" wrapText="1"/>
    </xf>
    <xf numFmtId="171" fontId="0" fillId="0" borderId="0" xfId="0" applyNumberFormat="1" applyAlignment="1"/>
  </cellXfs>
  <cellStyles count="3">
    <cellStyle name="Currency" xfId="1" builtinId="4"/>
    <cellStyle name="Hyperlink" xfId="2" builtinId="8"/>
    <cellStyle name="Normal" xfId="0" builtinId="0"/>
  </cellStyles>
  <dxfs count="10">
    <dxf>
      <numFmt numFmtId="171" formatCode="_(&quot;$&quot;* #,##0_);_(&quot;$&quot;* \(#,##0\);_(&quot;$&quot;* &quot;-&quot;??_);_(@_)"/>
      <alignment vertical="bottom" textRotation="0" indent="0" justifyLastLine="0" shrinkToFit="0" readingOrder="0"/>
    </dxf>
    <dxf>
      <numFmt numFmtId="171" formatCode="_(&quot;$&quot;* #,##0_);_(&quot;$&quot;* \(#,##0\);_(&quot;$&quot;* &quot;-&quot;??_);_(@_)"/>
      <alignment horizontal="left" vertical="bottom" textRotation="0" wrapText="0" indent="0" justifyLastLine="0" shrinkToFit="0" readingOrder="0"/>
    </dxf>
    <dxf>
      <alignment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40433"/>
        <name val="Verdana"/>
        <scheme val="none"/>
      </font>
      <numFmt numFmtId="171" formatCode="_(&quot;$&quot;* #,##0_);_(&quot;$&quot;* \(#,##0\);_(&quot;$&quot;* &quot;-&quot;??_);_(@_)"/>
      <alignment horizontal="left" vertical="bottom" textRotation="0" wrapText="1" indent="0" justifyLastLine="0" shrinkToFit="0" readingOrder="0"/>
    </dxf>
    <dxf>
      <numFmt numFmtId="171" formatCode="_(&quot;$&quot;* #,##0_);_(&quot;$&quot;* \(#,##0\);_(&quot;$&quot;* &quot;-&quot;??_);_(@_)"/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numFmt numFmtId="1" formatCode="0"/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40433"/>
        <name val="Verdana"/>
        <scheme val="none"/>
      </font>
      <alignment horizontal="left" vertical="bottom" textRotation="0" wrapText="1" indent="0" justifyLastLine="0" shrinkToFit="0" readingOrder="0"/>
    </dxf>
    <dxf>
      <alignment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6" totalsRowShown="0" dataDxfId="2">
  <autoFilter ref="A1:I6"/>
  <tableColumns count="9">
    <tableColumn id="1" name="Account" dataDxfId="9"/>
    <tableColumn id="2" name="Address" dataDxfId="8"/>
    <tableColumn id="3" name="Sq. Ft." dataDxfId="7"/>
    <tableColumn id="4" name="Bed" dataDxfId="6"/>
    <tableColumn id="5" name="Bath" dataDxfId="5"/>
    <tableColumn id="6" name="Gross_x000a_Value" dataDxfId="4" dataCellStyle="Currency"/>
    <tableColumn id="7" name="Land Value" dataDxfId="3" dataCellStyle="Currency"/>
    <tableColumn id="8" name="Improvement_x000a_Value" dataDxfId="1" dataCellStyle="Currency"/>
    <tableColumn id="9" name="$/Sq Ft" dataDxfId="0">
      <calculatedColumnFormula>F2/C2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ctweb.acttax.com/act_webdev/montgomery/showdetail2.jsp?can=0053800600900&amp;ownerno=0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actweb.acttax.com/act_webdev/montgomery/showdetail2.jsp?can=0053800802400&amp;ownerno=0" TargetMode="External"/><Relationship Id="rId1" Type="http://schemas.openxmlformats.org/officeDocument/2006/relationships/hyperlink" Target="https://actweb.acttax.com/act_webdev/montgomery/showdetail2.jsp?can=0053800801500&amp;ownerno=0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ctweb.acttax.com/act_webdev/montgomery/showdetail2.jsp?can=0053800801300&amp;ownerno=0" TargetMode="External"/><Relationship Id="rId4" Type="http://schemas.openxmlformats.org/officeDocument/2006/relationships/hyperlink" Target="https://actweb.acttax.com/act_webdev/montgomery/showdetail2.jsp?can=0053800504900&amp;ownerno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C6" sqref="C6"/>
    </sheetView>
  </sheetViews>
  <sheetFormatPr defaultRowHeight="15" x14ac:dyDescent="0.25"/>
  <cols>
    <col min="1" max="1" width="12" bestFit="1" customWidth="1"/>
    <col min="2" max="2" width="24.7109375" customWidth="1"/>
    <col min="3" max="3" width="8.7109375" bestFit="1" customWidth="1"/>
    <col min="4" max="4" width="6.5703125" customWidth="1"/>
    <col min="5" max="5" width="7.140625" customWidth="1"/>
    <col min="6" max="6" width="13.7109375" bestFit="1" customWidth="1"/>
    <col min="7" max="7" width="12.85546875" customWidth="1"/>
    <col min="8" max="8" width="13.28515625" bestFit="1" customWidth="1"/>
  </cols>
  <sheetData>
    <row r="1" spans="1:9" ht="30" x14ac:dyDescent="0.25">
      <c r="A1" t="s">
        <v>0</v>
      </c>
      <c r="B1" t="s">
        <v>1</v>
      </c>
      <c r="C1" t="s">
        <v>10</v>
      </c>
      <c r="D1" t="s">
        <v>4</v>
      </c>
      <c r="E1" t="s">
        <v>5</v>
      </c>
      <c r="F1" s="1" t="s">
        <v>7</v>
      </c>
      <c r="G1" t="s">
        <v>3</v>
      </c>
      <c r="H1" s="1" t="s">
        <v>8</v>
      </c>
      <c r="I1" t="s">
        <v>13</v>
      </c>
    </row>
    <row r="2" spans="1:9" x14ac:dyDescent="0.25">
      <c r="A2" s="3">
        <v>53800801500</v>
      </c>
      <c r="B2" s="4" t="s">
        <v>2</v>
      </c>
      <c r="C2" s="2">
        <v>2582</v>
      </c>
      <c r="D2" s="4">
        <v>3</v>
      </c>
      <c r="E2" s="4">
        <v>2</v>
      </c>
      <c r="F2" s="5">
        <v>406690</v>
      </c>
      <c r="G2" s="6">
        <v>81900</v>
      </c>
      <c r="H2" s="7">
        <f>F2-G2</f>
        <v>324790</v>
      </c>
      <c r="I2" s="11">
        <f t="shared" ref="I2:I5" si="0">F2/C2</f>
        <v>157.50968241673121</v>
      </c>
    </row>
    <row r="3" spans="1:9" x14ac:dyDescent="0.25">
      <c r="A3" s="8">
        <v>53800802400</v>
      </c>
      <c r="B3" s="9" t="s">
        <v>6</v>
      </c>
      <c r="C3" s="10">
        <v>3453</v>
      </c>
      <c r="D3" s="4">
        <v>4</v>
      </c>
      <c r="E3" s="4">
        <v>4</v>
      </c>
      <c r="F3" s="6">
        <v>508950</v>
      </c>
      <c r="G3" s="6">
        <v>81680</v>
      </c>
      <c r="H3" s="7">
        <f>F3-G3</f>
        <v>427270</v>
      </c>
      <c r="I3" s="11">
        <f t="shared" si="0"/>
        <v>147.39357080799306</v>
      </c>
    </row>
    <row r="4" spans="1:9" x14ac:dyDescent="0.25">
      <c r="A4" s="8">
        <v>53800600900</v>
      </c>
      <c r="B4" s="9" t="s">
        <v>9</v>
      </c>
      <c r="C4" s="10">
        <v>2815</v>
      </c>
      <c r="D4" s="4"/>
      <c r="E4" s="4">
        <v>3</v>
      </c>
      <c r="F4" s="6">
        <v>416000</v>
      </c>
      <c r="G4" s="6">
        <v>79880</v>
      </c>
      <c r="H4" s="7">
        <f>F4-G4</f>
        <v>336120</v>
      </c>
      <c r="I4" s="11">
        <f t="shared" si="0"/>
        <v>147.7797513321492</v>
      </c>
    </row>
    <row r="5" spans="1:9" x14ac:dyDescent="0.25">
      <c r="A5" s="8">
        <v>53800801300</v>
      </c>
      <c r="B5" s="9" t="s">
        <v>12</v>
      </c>
      <c r="C5" s="2">
        <v>2858</v>
      </c>
      <c r="D5" s="4"/>
      <c r="E5" s="4">
        <v>2</v>
      </c>
      <c r="F5" s="6">
        <v>408200</v>
      </c>
      <c r="G5" s="6">
        <v>84140</v>
      </c>
      <c r="H5" s="7">
        <f>F5-G5</f>
        <v>324060</v>
      </c>
      <c r="I5" s="11">
        <f t="shared" si="0"/>
        <v>142.82715185444366</v>
      </c>
    </row>
    <row r="6" spans="1:9" x14ac:dyDescent="0.25">
      <c r="A6" s="8">
        <v>53800504900</v>
      </c>
      <c r="B6" s="9" t="s">
        <v>11</v>
      </c>
      <c r="C6" s="2">
        <v>3401</v>
      </c>
      <c r="D6" s="4">
        <v>4</v>
      </c>
      <c r="E6" s="4">
        <v>3.5</v>
      </c>
      <c r="F6" s="6">
        <v>400180</v>
      </c>
      <c r="G6" s="6">
        <v>86620</v>
      </c>
      <c r="H6" s="7">
        <f>F6-G6</f>
        <v>313560</v>
      </c>
      <c r="I6" s="11">
        <f>F6/C6</f>
        <v>117.66539253160835</v>
      </c>
    </row>
  </sheetData>
  <hyperlinks>
    <hyperlink ref="A2" r:id="rId1" display="https://actweb.acttax.com/act_webdev/montgomery/showdetail2.jsp?can=0053800801500&amp;ownerno=0"/>
    <hyperlink ref="A3" r:id="rId2" display="https://actweb.acttax.com/act_webdev/montgomery/showdetail2.jsp?can=0053800802400&amp;ownerno=0"/>
    <hyperlink ref="A4" r:id="rId3" display="https://actweb.acttax.com/act_webdev/montgomery/showdetail2.jsp?can=0053800600900&amp;ownerno=0"/>
    <hyperlink ref="A6" r:id="rId4" display="https://actweb.acttax.com/act_webdev/montgomery/showdetail2.jsp?can=0053800504900&amp;ownerno=0"/>
    <hyperlink ref="A5" r:id="rId5" display="https://actweb.acttax.com/act_webdev/montgomery/showdetail2.jsp?can=0053800801300&amp;ownerno=0"/>
  </hyperlinks>
  <pageMargins left="0.7" right="0.7" top="0.75" bottom="0.75" header="0.3" footer="0.3"/>
  <pageSetup orientation="portrait" horizontalDpi="0" verticalDpi="0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Usner</dc:creator>
  <cp:lastModifiedBy>Michael Usner</cp:lastModifiedBy>
  <dcterms:created xsi:type="dcterms:W3CDTF">2017-05-07T14:43:57Z</dcterms:created>
  <dcterms:modified xsi:type="dcterms:W3CDTF">2017-05-11T02:55:58Z</dcterms:modified>
</cp:coreProperties>
</file>